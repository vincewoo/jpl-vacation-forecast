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in the mon-fri columns: 
enter the number of vacation hours taken for that day; 
enter P if claiming the annual Personal Day</t>
      </text>
    </comment>
    <comment authorId="0" ref="K1">
      <text>
        <t xml:space="preserve">RDOs are highlighted with dark gray; this can be disabled by removing the Conditional Formatting rule</t>
      </text>
    </comment>
    <comment authorId="0" ref="N1">
      <text>
        <t xml:space="preserve">enter weekly accrual rate in hours</t>
      </text>
    </comment>
    <comment authorId="0" ref="B2">
      <text>
        <t xml:space="preserve">enter the year; this value will be used to calculate the start-of-week dates on the calendar</t>
      </text>
    </comment>
    <comment authorId="0" ref="D2">
      <text>
        <t xml:space="preserve">start (Monday) of the first week of the year</t>
      </text>
    </comment>
    <comment authorId="0" ref="N2">
      <text>
        <t xml:space="preserve">this cell performs rollover of unused personal hours into vacation if needed</t>
      </text>
    </comment>
    <comment authorId="0" ref="B3">
      <text>
        <t xml:space="preserve">enter Yes if using Alternative Work Week (RDO) schedule
</t>
      </text>
    </comment>
    <comment authorId="0" ref="B4">
      <text>
        <t xml:space="preserve">enter vacation hours balance as of the beginning of the year; this value is used as the "start balance" for the first week</t>
      </text>
    </comment>
    <comment authorId="0" ref="B5">
      <text>
        <t xml:space="preserve">enter 0 if Personal Day was used last year; otherwise enter 8
</t>
      </text>
    </comment>
    <comment authorId="0" ref="B6">
      <text>
        <t xml:space="preserve">Number of hours accrued per month</t>
      </text>
    </comment>
    <comment authorId="0" ref="A7">
      <text>
        <t xml:space="preserve">enter full dates; these are used by Conditional Formatting to highlight corresponding cells on the calendar
</t>
      </text>
    </comment>
  </commentList>
</comments>
</file>

<file path=xl/sharedStrings.xml><?xml version="1.0" encoding="utf-8"?>
<sst xmlns="http://schemas.openxmlformats.org/spreadsheetml/2006/main" count="34" uniqueCount="34">
  <si>
    <t>week start</t>
  </si>
  <si>
    <t>week num</t>
  </si>
  <si>
    <t>start balance</t>
  </si>
  <si>
    <t>mon use</t>
  </si>
  <si>
    <t>tue use</t>
  </si>
  <si>
    <t>wed use</t>
  </si>
  <si>
    <t>thu use</t>
  </si>
  <si>
    <t>fri use</t>
  </si>
  <si>
    <t>week end</t>
  </si>
  <si>
    <t>week use</t>
  </si>
  <si>
    <t>accrual</t>
  </si>
  <si>
    <t>end balance</t>
  </si>
  <si>
    <t>end bal capped</t>
  </si>
  <si>
    <t>loss</t>
  </si>
  <si>
    <t>Year</t>
  </si>
  <si>
    <t>RDO Schedule</t>
  </si>
  <si>
    <t>Yes</t>
  </si>
  <si>
    <t>Vacation Hrs Balance</t>
  </si>
  <si>
    <t>Personal Hrs Balance</t>
  </si>
  <si>
    <t>Accrual Rate</t>
  </si>
  <si>
    <t>Holidays</t>
  </si>
  <si>
    <t>New Year</t>
  </si>
  <si>
    <t>Martin Luther King</t>
  </si>
  <si>
    <t>Presidents</t>
  </si>
  <si>
    <t>Memorial</t>
  </si>
  <si>
    <t>Juneteenth</t>
  </si>
  <si>
    <t>Independence</t>
  </si>
  <si>
    <t>Labor</t>
  </si>
  <si>
    <t>Thanksgiving</t>
  </si>
  <si>
    <t>After Thanksgiving</t>
  </si>
  <si>
    <t>Christmas</t>
  </si>
  <si>
    <t>Floating 1</t>
  </si>
  <si>
    <t>Floating 2</t>
  </si>
  <si>
    <t>New Year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</si>
</sst>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.0"/>
    <numFmt numFmtId="166" formatCode="yyyy&quot;-&quot;mm&quot;-&quot;dd"/>
  </numFmts>
  <fonts count="8">
    <font>
      <sz val="11.0"/>
      <color theme="1"/>
      <name val="Calibri"/>
      <scheme val="minor"/>
    </font>
    <font>
      <b/>
      <i/>
      <sz val="11.0"/>
      <color theme="1"/>
      <name val="Calibri"/>
      <scheme val="minor"/>
    </font>
    <font>
      <color theme="1"/>
      <name val="Calibri"/>
      <scheme val="minor"/>
    </font>
    <font>
      <sz val="11.0"/>
      <color theme="0"/>
      <name val="Calibri"/>
      <scheme val="minor"/>
    </font>
    <font>
      <color theme="1"/>
      <name val="Arial"/>
    </font>
    <font/>
    <font>
      <i/>
      <sz val="11.0"/>
      <color theme="1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</fills>
  <borders count="4">
    <border/>
    <border>
      <left/>
      <right/>
      <top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0" numFmtId="0" xfId="0" applyFont="1"/>
    <xf borderId="0" fillId="0" fontId="2" numFmtId="0" xfId="0" applyAlignment="1" applyFont="1">
      <alignment readingOrder="0"/>
    </xf>
    <xf borderId="1" fillId="2" fontId="0" numFmtId="164" xfId="0" applyBorder="1" applyFill="1" applyFont="1" applyNumberFormat="1"/>
    <xf borderId="1" fillId="2" fontId="0" numFmtId="0" xfId="0" applyBorder="1" applyFont="1"/>
    <xf borderId="1" fillId="2" fontId="0" numFmtId="165" xfId="0" applyAlignment="1" applyBorder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1" fillId="4" fontId="0" numFmtId="2" xfId="0" applyAlignment="1" applyBorder="1" applyFill="1" applyFont="1" applyNumberFormat="1">
      <alignment readingOrder="0"/>
    </xf>
    <xf borderId="1" fillId="2" fontId="0" numFmtId="165" xfId="0" applyBorder="1" applyFont="1" applyNumberFormat="1"/>
    <xf borderId="1" fillId="5" fontId="3" numFmtId="0" xfId="0" applyBorder="1" applyFill="1" applyFont="1"/>
    <xf borderId="0" fillId="0" fontId="0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0" numFmtId="0" xfId="0" applyAlignment="1" applyFont="1">
      <alignment horizontal="right" readingOrder="0"/>
    </xf>
    <xf borderId="2" fillId="2" fontId="0" numFmtId="0" xfId="0" applyAlignment="1" applyBorder="1" applyFont="1">
      <alignment horizontal="center"/>
    </xf>
    <xf borderId="3" fillId="0" fontId="5" numFmtId="0" xfId="0" applyBorder="1" applyFont="1"/>
    <xf borderId="1" fillId="6" fontId="6" numFmtId="0" xfId="0" applyAlignment="1" applyBorder="1" applyFill="1" applyFont="1">
      <alignment horizontal="left"/>
    </xf>
    <xf borderId="0" fillId="0" fontId="0" numFmtId="16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0" fontId="0" numFmtId="16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0.43"/>
    <col customWidth="1" min="3" max="3" width="8.71"/>
    <col customWidth="1" min="4" max="4" width="13.71"/>
    <col customWidth="1" min="5" max="5" width="5.71"/>
    <col customWidth="1" min="6" max="6" width="12.57"/>
    <col customWidth="1" min="7" max="8" width="5.86"/>
    <col customWidth="1" min="9" max="9" width="5.71"/>
    <col customWidth="1" min="10" max="10" width="5.43"/>
    <col customWidth="1" min="11" max="11" width="5.71"/>
    <col customWidth="1" min="12" max="12" width="13.71"/>
    <col customWidth="1" min="13" max="13" width="5.71"/>
    <col customWidth="1" min="14" max="14" width="11.86"/>
    <col customWidth="1" min="15" max="16" width="11.57"/>
    <col customWidth="1" min="17" max="17" width="5.71"/>
    <col customWidth="1" min="18" max="19" width="8.71"/>
    <col customWidth="1" min="20" max="20" width="18.57"/>
    <col customWidth="1" min="21" max="26" width="8.71"/>
  </cols>
  <sheetData>
    <row r="1" ht="30.0" customHeight="1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14</v>
      </c>
      <c r="B2" s="4">
        <v>2026.0</v>
      </c>
      <c r="D2" s="5">
        <f>DATE($B$2,1,1)-WEEKDAY(DATE($B$2,1,1),3)</f>
        <v>46020</v>
      </c>
      <c r="E2" s="6">
        <f t="shared" ref="E2:E55" si="1">WEEKNUM(L2,2)</f>
        <v>1</v>
      </c>
      <c r="F2" s="7">
        <f>B4</f>
        <v>74.68</v>
      </c>
      <c r="G2" s="8"/>
      <c r="J2" s="8"/>
      <c r="K2" s="9"/>
      <c r="L2" s="5">
        <f t="shared" ref="L2:L55" si="2">D2+6</f>
        <v>46026</v>
      </c>
      <c r="M2" s="6">
        <f t="shared" ref="M2:M55" si="3">SUM(G2:K2)</f>
        <v>0</v>
      </c>
      <c r="N2" s="10">
        <f t="shared" ref="N2:N55" si="4">($B$6 * 12)/(DATE(YEAR(D2),12,31)-DATE(YEAR(D2),1,1)+1) * 7</f>
        <v>2.761643836</v>
      </c>
      <c r="O2" s="11">
        <f t="shared" ref="O2:O55" si="5">$F2-$M2+$N2</f>
        <v>77.44164384</v>
      </c>
      <c r="P2" s="11">
        <f t="shared" ref="P2:P55" si="6">MIN($O2,320)</f>
        <v>77.44164384</v>
      </c>
      <c r="Q2" s="11">
        <f t="shared" ref="Q2:Q55" si="7">O2-P2</f>
        <v>0</v>
      </c>
    </row>
    <row r="3">
      <c r="A3" s="12" t="s">
        <v>15</v>
      </c>
      <c r="B3" s="13" t="s">
        <v>16</v>
      </c>
      <c r="D3" s="5">
        <f t="shared" ref="D3:D55" si="8">D2+7</f>
        <v>46027</v>
      </c>
      <c r="E3" s="6">
        <f t="shared" si="1"/>
        <v>2</v>
      </c>
      <c r="F3" s="7">
        <f t="shared" ref="F3:F55" si="9">P2</f>
        <v>77.44164384</v>
      </c>
      <c r="I3" s="14"/>
      <c r="K3" s="9"/>
      <c r="L3" s="5">
        <f t="shared" si="2"/>
        <v>46033</v>
      </c>
      <c r="M3" s="6">
        <f t="shared" si="3"/>
        <v>0</v>
      </c>
      <c r="N3" s="10">
        <f t="shared" si="4"/>
        <v>2.761643836</v>
      </c>
      <c r="O3" s="11">
        <f t="shared" si="5"/>
        <v>80.20328767</v>
      </c>
      <c r="P3" s="11">
        <f t="shared" si="6"/>
        <v>80.20328767</v>
      </c>
      <c r="Q3" s="11">
        <f t="shared" si="7"/>
        <v>0</v>
      </c>
    </row>
    <row r="4">
      <c r="A4" s="3" t="s">
        <v>17</v>
      </c>
      <c r="B4" s="4">
        <v>74.68</v>
      </c>
      <c r="D4" s="5">
        <f t="shared" si="8"/>
        <v>46034</v>
      </c>
      <c r="E4" s="6">
        <f t="shared" si="1"/>
        <v>3</v>
      </c>
      <c r="F4" s="11">
        <f t="shared" si="9"/>
        <v>80.20328767</v>
      </c>
      <c r="L4" s="5">
        <f t="shared" si="2"/>
        <v>46040</v>
      </c>
      <c r="M4" s="6">
        <f t="shared" si="3"/>
        <v>0</v>
      </c>
      <c r="N4" s="10">
        <f t="shared" si="4"/>
        <v>2.761643836</v>
      </c>
      <c r="O4" s="11">
        <f t="shared" si="5"/>
        <v>82.96493151</v>
      </c>
      <c r="P4" s="11">
        <f t="shared" si="6"/>
        <v>82.96493151</v>
      </c>
      <c r="Q4" s="11">
        <f t="shared" si="7"/>
        <v>0</v>
      </c>
    </row>
    <row r="5">
      <c r="A5" s="3" t="s">
        <v>18</v>
      </c>
      <c r="B5" s="15">
        <v>0.0</v>
      </c>
      <c r="D5" s="5">
        <f t="shared" si="8"/>
        <v>46041</v>
      </c>
      <c r="E5" s="6">
        <f t="shared" si="1"/>
        <v>4</v>
      </c>
      <c r="F5" s="11">
        <f t="shared" si="9"/>
        <v>82.96493151</v>
      </c>
      <c r="G5" s="9"/>
      <c r="K5" s="9"/>
      <c r="L5" s="5">
        <f t="shared" si="2"/>
        <v>46047</v>
      </c>
      <c r="M5" s="6">
        <f t="shared" si="3"/>
        <v>0</v>
      </c>
      <c r="N5" s="10">
        <f t="shared" si="4"/>
        <v>2.761643836</v>
      </c>
      <c r="O5" s="11">
        <f t="shared" si="5"/>
        <v>85.72657534</v>
      </c>
      <c r="P5" s="11">
        <f t="shared" si="6"/>
        <v>85.72657534</v>
      </c>
      <c r="Q5" s="11">
        <f t="shared" si="7"/>
        <v>0</v>
      </c>
    </row>
    <row r="6">
      <c r="A6" s="4" t="s">
        <v>19</v>
      </c>
      <c r="B6" s="4">
        <v>12.0</v>
      </c>
      <c r="D6" s="5">
        <f t="shared" si="8"/>
        <v>46048</v>
      </c>
      <c r="E6" s="6">
        <f t="shared" si="1"/>
        <v>5</v>
      </c>
      <c r="F6" s="11">
        <f t="shared" si="9"/>
        <v>85.72657534</v>
      </c>
      <c r="L6" s="5">
        <f t="shared" si="2"/>
        <v>46054</v>
      </c>
      <c r="M6" s="6">
        <f t="shared" si="3"/>
        <v>0</v>
      </c>
      <c r="N6" s="10">
        <f t="shared" si="4"/>
        <v>2.761643836</v>
      </c>
      <c r="O6" s="11">
        <f t="shared" si="5"/>
        <v>88.48821918</v>
      </c>
      <c r="P6" s="11">
        <f t="shared" si="6"/>
        <v>88.48821918</v>
      </c>
      <c r="Q6" s="11">
        <f t="shared" si="7"/>
        <v>0</v>
      </c>
    </row>
    <row r="7">
      <c r="A7" s="16" t="s">
        <v>20</v>
      </c>
      <c r="B7" s="17"/>
      <c r="D7" s="5">
        <f t="shared" si="8"/>
        <v>46055</v>
      </c>
      <c r="E7" s="6">
        <f t="shared" si="1"/>
        <v>6</v>
      </c>
      <c r="F7" s="11">
        <f t="shared" si="9"/>
        <v>88.48821918</v>
      </c>
      <c r="K7" s="9"/>
      <c r="L7" s="5">
        <f t="shared" si="2"/>
        <v>46061</v>
      </c>
      <c r="M7" s="6">
        <f t="shared" si="3"/>
        <v>0</v>
      </c>
      <c r="N7" s="10">
        <f t="shared" si="4"/>
        <v>2.761643836</v>
      </c>
      <c r="O7" s="11">
        <f t="shared" si="5"/>
        <v>91.24986301</v>
      </c>
      <c r="P7" s="11">
        <f t="shared" si="6"/>
        <v>91.24986301</v>
      </c>
      <c r="Q7" s="11">
        <f t="shared" si="7"/>
        <v>0</v>
      </c>
    </row>
    <row r="8">
      <c r="A8" s="18" t="s">
        <v>21</v>
      </c>
      <c r="B8" s="19">
        <v>46023.0</v>
      </c>
      <c r="D8" s="5">
        <f t="shared" si="8"/>
        <v>46062</v>
      </c>
      <c r="E8" s="6">
        <f t="shared" si="1"/>
        <v>7</v>
      </c>
      <c r="F8" s="11">
        <f t="shared" si="9"/>
        <v>91.24986301</v>
      </c>
      <c r="L8" s="5">
        <f t="shared" si="2"/>
        <v>46068</v>
      </c>
      <c r="M8" s="6">
        <f t="shared" si="3"/>
        <v>0</v>
      </c>
      <c r="N8" s="10">
        <f t="shared" si="4"/>
        <v>2.761643836</v>
      </c>
      <c r="O8" s="11">
        <f t="shared" si="5"/>
        <v>94.01150685</v>
      </c>
      <c r="P8" s="11">
        <f t="shared" si="6"/>
        <v>94.01150685</v>
      </c>
      <c r="Q8" s="11">
        <f t="shared" si="7"/>
        <v>0</v>
      </c>
    </row>
    <row r="9">
      <c r="A9" s="18" t="s">
        <v>22</v>
      </c>
      <c r="B9" s="19">
        <v>46041.0</v>
      </c>
      <c r="D9" s="5">
        <f t="shared" si="8"/>
        <v>46069</v>
      </c>
      <c r="E9" s="6">
        <f t="shared" si="1"/>
        <v>8</v>
      </c>
      <c r="F9" s="11">
        <f t="shared" si="9"/>
        <v>94.01150685</v>
      </c>
      <c r="G9" s="9"/>
      <c r="K9" s="9"/>
      <c r="L9" s="5">
        <f t="shared" si="2"/>
        <v>46075</v>
      </c>
      <c r="M9" s="6">
        <f t="shared" si="3"/>
        <v>0</v>
      </c>
      <c r="N9" s="10">
        <f t="shared" si="4"/>
        <v>2.761643836</v>
      </c>
      <c r="O9" s="11">
        <f t="shared" si="5"/>
        <v>96.77315068</v>
      </c>
      <c r="P9" s="11">
        <f t="shared" si="6"/>
        <v>96.77315068</v>
      </c>
      <c r="Q9" s="11">
        <f t="shared" si="7"/>
        <v>0</v>
      </c>
    </row>
    <row r="10">
      <c r="A10" s="18" t="s">
        <v>23</v>
      </c>
      <c r="B10" s="19">
        <v>46069.0</v>
      </c>
      <c r="D10" s="5">
        <f t="shared" si="8"/>
        <v>46076</v>
      </c>
      <c r="E10" s="6">
        <f t="shared" si="1"/>
        <v>9</v>
      </c>
      <c r="F10" s="11">
        <f t="shared" si="9"/>
        <v>96.77315068</v>
      </c>
      <c r="L10" s="5">
        <f t="shared" si="2"/>
        <v>46082</v>
      </c>
      <c r="M10" s="6">
        <f t="shared" si="3"/>
        <v>0</v>
      </c>
      <c r="N10" s="10">
        <f t="shared" si="4"/>
        <v>2.761643836</v>
      </c>
      <c r="O10" s="11">
        <f t="shared" si="5"/>
        <v>99.53479452</v>
      </c>
      <c r="P10" s="11">
        <f t="shared" si="6"/>
        <v>99.53479452</v>
      </c>
      <c r="Q10" s="11">
        <f t="shared" si="7"/>
        <v>0</v>
      </c>
    </row>
    <row r="11">
      <c r="A11" s="18" t="s">
        <v>24</v>
      </c>
      <c r="B11" s="19">
        <v>46167.0</v>
      </c>
      <c r="D11" s="5">
        <f t="shared" si="8"/>
        <v>46083</v>
      </c>
      <c r="E11" s="6">
        <f t="shared" si="1"/>
        <v>10</v>
      </c>
      <c r="F11" s="11">
        <f t="shared" si="9"/>
        <v>99.53479452</v>
      </c>
      <c r="K11" s="9"/>
      <c r="L11" s="5">
        <f t="shared" si="2"/>
        <v>46089</v>
      </c>
      <c r="M11" s="6">
        <f t="shared" si="3"/>
        <v>0</v>
      </c>
      <c r="N11" s="10">
        <f t="shared" si="4"/>
        <v>2.761643836</v>
      </c>
      <c r="O11" s="11">
        <f t="shared" si="5"/>
        <v>102.2964384</v>
      </c>
      <c r="P11" s="11">
        <f t="shared" si="6"/>
        <v>102.2964384</v>
      </c>
      <c r="Q11" s="11">
        <f t="shared" si="7"/>
        <v>0</v>
      </c>
    </row>
    <row r="12">
      <c r="A12" s="20" t="s">
        <v>25</v>
      </c>
      <c r="B12" s="19">
        <v>46192.0</v>
      </c>
      <c r="D12" s="5">
        <f t="shared" si="8"/>
        <v>46090</v>
      </c>
      <c r="E12" s="6">
        <f t="shared" si="1"/>
        <v>11</v>
      </c>
      <c r="F12" s="11">
        <f t="shared" si="9"/>
        <v>102.2964384</v>
      </c>
      <c r="L12" s="5">
        <f t="shared" si="2"/>
        <v>46096</v>
      </c>
      <c r="M12" s="6">
        <f t="shared" si="3"/>
        <v>0</v>
      </c>
      <c r="N12" s="10">
        <f t="shared" si="4"/>
        <v>2.761643836</v>
      </c>
      <c r="O12" s="11">
        <f t="shared" si="5"/>
        <v>105.0580822</v>
      </c>
      <c r="P12" s="11">
        <f t="shared" si="6"/>
        <v>105.0580822</v>
      </c>
      <c r="Q12" s="11">
        <f t="shared" si="7"/>
        <v>0</v>
      </c>
    </row>
    <row r="13">
      <c r="A13" s="18" t="s">
        <v>26</v>
      </c>
      <c r="B13" s="19">
        <v>46206.0</v>
      </c>
      <c r="D13" s="5">
        <f t="shared" si="8"/>
        <v>46097</v>
      </c>
      <c r="E13" s="6">
        <f t="shared" si="1"/>
        <v>12</v>
      </c>
      <c r="F13" s="11">
        <f t="shared" si="9"/>
        <v>105.0580822</v>
      </c>
      <c r="K13" s="9"/>
      <c r="L13" s="5">
        <f t="shared" si="2"/>
        <v>46103</v>
      </c>
      <c r="M13" s="6">
        <f t="shared" si="3"/>
        <v>0</v>
      </c>
      <c r="N13" s="10">
        <f t="shared" si="4"/>
        <v>2.761643836</v>
      </c>
      <c r="O13" s="11">
        <f t="shared" si="5"/>
        <v>107.819726</v>
      </c>
      <c r="P13" s="11">
        <f t="shared" si="6"/>
        <v>107.819726</v>
      </c>
      <c r="Q13" s="11">
        <f t="shared" si="7"/>
        <v>0</v>
      </c>
    </row>
    <row r="14">
      <c r="A14" s="18" t="s">
        <v>27</v>
      </c>
      <c r="B14" s="19">
        <v>46272.0</v>
      </c>
      <c r="D14" s="5">
        <f t="shared" si="8"/>
        <v>46104</v>
      </c>
      <c r="E14" s="6">
        <f t="shared" si="1"/>
        <v>13</v>
      </c>
      <c r="F14" s="11">
        <f t="shared" si="9"/>
        <v>107.819726</v>
      </c>
      <c r="L14" s="5">
        <f t="shared" si="2"/>
        <v>46110</v>
      </c>
      <c r="M14" s="6">
        <f t="shared" si="3"/>
        <v>0</v>
      </c>
      <c r="N14" s="10">
        <f t="shared" si="4"/>
        <v>2.761643836</v>
      </c>
      <c r="O14" s="11">
        <f t="shared" si="5"/>
        <v>110.5813699</v>
      </c>
      <c r="P14" s="11">
        <f t="shared" si="6"/>
        <v>110.5813699</v>
      </c>
      <c r="Q14" s="11">
        <f t="shared" si="7"/>
        <v>0</v>
      </c>
    </row>
    <row r="15">
      <c r="A15" s="18" t="s">
        <v>28</v>
      </c>
      <c r="B15" s="19">
        <v>46351.0</v>
      </c>
      <c r="D15" s="5">
        <f t="shared" si="8"/>
        <v>46111</v>
      </c>
      <c r="E15" s="6">
        <f t="shared" si="1"/>
        <v>14</v>
      </c>
      <c r="F15" s="11">
        <f t="shared" si="9"/>
        <v>110.5813699</v>
      </c>
      <c r="K15" s="9"/>
      <c r="L15" s="5">
        <f t="shared" si="2"/>
        <v>46117</v>
      </c>
      <c r="M15" s="6">
        <f t="shared" si="3"/>
        <v>0</v>
      </c>
      <c r="N15" s="10">
        <f t="shared" si="4"/>
        <v>2.761643836</v>
      </c>
      <c r="O15" s="11">
        <f t="shared" si="5"/>
        <v>113.3430137</v>
      </c>
      <c r="P15" s="11">
        <f t="shared" si="6"/>
        <v>113.3430137</v>
      </c>
      <c r="Q15" s="11">
        <f t="shared" si="7"/>
        <v>0</v>
      </c>
    </row>
    <row r="16">
      <c r="A16" s="18" t="s">
        <v>29</v>
      </c>
      <c r="B16" s="19">
        <v>46352.0</v>
      </c>
      <c r="D16" s="5">
        <f t="shared" si="8"/>
        <v>46118</v>
      </c>
      <c r="E16" s="6">
        <f t="shared" si="1"/>
        <v>15</v>
      </c>
      <c r="F16" s="11">
        <f t="shared" si="9"/>
        <v>113.3430137</v>
      </c>
      <c r="L16" s="5">
        <f t="shared" si="2"/>
        <v>46124</v>
      </c>
      <c r="M16" s="6">
        <f t="shared" si="3"/>
        <v>0</v>
      </c>
      <c r="N16" s="10">
        <f t="shared" si="4"/>
        <v>2.761643836</v>
      </c>
      <c r="O16" s="11">
        <f t="shared" si="5"/>
        <v>116.1046575</v>
      </c>
      <c r="P16" s="11">
        <f t="shared" si="6"/>
        <v>116.1046575</v>
      </c>
      <c r="Q16" s="11">
        <f t="shared" si="7"/>
        <v>0</v>
      </c>
    </row>
    <row r="17">
      <c r="A17" s="18" t="s">
        <v>30</v>
      </c>
      <c r="B17" s="19">
        <v>46380.0</v>
      </c>
      <c r="D17" s="5">
        <f t="shared" si="8"/>
        <v>46125</v>
      </c>
      <c r="E17" s="6">
        <f t="shared" si="1"/>
        <v>16</v>
      </c>
      <c r="F17" s="11">
        <f t="shared" si="9"/>
        <v>116.1046575</v>
      </c>
      <c r="K17" s="9"/>
      <c r="L17" s="5">
        <f t="shared" si="2"/>
        <v>46131</v>
      </c>
      <c r="M17" s="6">
        <f t="shared" si="3"/>
        <v>0</v>
      </c>
      <c r="N17" s="10">
        <f t="shared" si="4"/>
        <v>2.761643836</v>
      </c>
      <c r="O17" s="11">
        <f t="shared" si="5"/>
        <v>118.8663014</v>
      </c>
      <c r="P17" s="11">
        <f t="shared" si="6"/>
        <v>118.8663014</v>
      </c>
      <c r="Q17" s="11">
        <f t="shared" si="7"/>
        <v>0</v>
      </c>
    </row>
    <row r="18">
      <c r="A18" s="18" t="s">
        <v>31</v>
      </c>
      <c r="B18" s="19">
        <v>46024.0</v>
      </c>
      <c r="D18" s="5">
        <f t="shared" si="8"/>
        <v>46132</v>
      </c>
      <c r="E18" s="6">
        <f t="shared" si="1"/>
        <v>17</v>
      </c>
      <c r="F18" s="11">
        <f t="shared" si="9"/>
        <v>118.8663014</v>
      </c>
      <c r="L18" s="5">
        <f t="shared" si="2"/>
        <v>46138</v>
      </c>
      <c r="M18" s="6">
        <f t="shared" si="3"/>
        <v>0</v>
      </c>
      <c r="N18" s="10">
        <f t="shared" si="4"/>
        <v>2.761643836</v>
      </c>
      <c r="O18" s="11">
        <f t="shared" si="5"/>
        <v>121.6279452</v>
      </c>
      <c r="P18" s="11">
        <f t="shared" si="6"/>
        <v>121.6279452</v>
      </c>
      <c r="Q18" s="11">
        <f t="shared" si="7"/>
        <v>0</v>
      </c>
    </row>
    <row r="19">
      <c r="A19" s="18" t="s">
        <v>32</v>
      </c>
      <c r="B19" s="21">
        <v>46384.0</v>
      </c>
      <c r="D19" s="5">
        <f t="shared" si="8"/>
        <v>46139</v>
      </c>
      <c r="E19" s="6">
        <f t="shared" si="1"/>
        <v>18</v>
      </c>
      <c r="F19" s="11">
        <f t="shared" si="9"/>
        <v>121.6279452</v>
      </c>
      <c r="K19" s="9"/>
      <c r="L19" s="5">
        <f t="shared" si="2"/>
        <v>46145</v>
      </c>
      <c r="M19" s="6">
        <f t="shared" si="3"/>
        <v>0</v>
      </c>
      <c r="N19" s="10">
        <f t="shared" si="4"/>
        <v>2.761643836</v>
      </c>
      <c r="O19" s="11">
        <f t="shared" si="5"/>
        <v>124.389589</v>
      </c>
      <c r="P19" s="11">
        <f t="shared" si="6"/>
        <v>124.389589</v>
      </c>
      <c r="Q19" s="11">
        <f t="shared" si="7"/>
        <v>0</v>
      </c>
    </row>
    <row r="20">
      <c r="A20" s="22" t="s">
        <v>33</v>
      </c>
      <c r="B20" s="21">
        <v>46023.0</v>
      </c>
      <c r="D20" s="5">
        <f t="shared" si="8"/>
        <v>46146</v>
      </c>
      <c r="E20" s="6">
        <f t="shared" si="1"/>
        <v>19</v>
      </c>
      <c r="F20" s="11">
        <f t="shared" si="9"/>
        <v>124.389589</v>
      </c>
      <c r="L20" s="5">
        <f t="shared" si="2"/>
        <v>46152</v>
      </c>
      <c r="M20" s="6">
        <f t="shared" si="3"/>
        <v>0</v>
      </c>
      <c r="N20" s="10">
        <f t="shared" si="4"/>
        <v>2.761643836</v>
      </c>
      <c r="O20" s="11">
        <f t="shared" si="5"/>
        <v>127.1512329</v>
      </c>
      <c r="P20" s="11">
        <f t="shared" si="6"/>
        <v>127.1512329</v>
      </c>
      <c r="Q20" s="11">
        <f t="shared" si="7"/>
        <v>0</v>
      </c>
    </row>
    <row r="21" ht="15.75" customHeight="1">
      <c r="D21" s="5">
        <f t="shared" si="8"/>
        <v>46153</v>
      </c>
      <c r="E21" s="6">
        <f t="shared" si="1"/>
        <v>20</v>
      </c>
      <c r="F21" s="11">
        <f t="shared" si="9"/>
        <v>127.1512329</v>
      </c>
      <c r="K21" s="9"/>
      <c r="L21" s="5">
        <f t="shared" si="2"/>
        <v>46159</v>
      </c>
      <c r="M21" s="6">
        <f t="shared" si="3"/>
        <v>0</v>
      </c>
      <c r="N21" s="10">
        <f t="shared" si="4"/>
        <v>2.761643836</v>
      </c>
      <c r="O21" s="11">
        <f t="shared" si="5"/>
        <v>129.9128767</v>
      </c>
      <c r="P21" s="11">
        <f t="shared" si="6"/>
        <v>129.9128767</v>
      </c>
      <c r="Q21" s="11">
        <f t="shared" si="7"/>
        <v>0</v>
      </c>
    </row>
    <row r="22" ht="15.75" customHeight="1">
      <c r="D22" s="5">
        <f t="shared" si="8"/>
        <v>46160</v>
      </c>
      <c r="E22" s="6">
        <f t="shared" si="1"/>
        <v>21</v>
      </c>
      <c r="F22" s="11">
        <f t="shared" si="9"/>
        <v>129.9128767</v>
      </c>
      <c r="L22" s="5">
        <f t="shared" si="2"/>
        <v>46166</v>
      </c>
      <c r="M22" s="6">
        <f t="shared" si="3"/>
        <v>0</v>
      </c>
      <c r="N22" s="10">
        <f t="shared" si="4"/>
        <v>2.761643836</v>
      </c>
      <c r="O22" s="11">
        <f t="shared" si="5"/>
        <v>132.6745205</v>
      </c>
      <c r="P22" s="11">
        <f t="shared" si="6"/>
        <v>132.6745205</v>
      </c>
      <c r="Q22" s="11">
        <f t="shared" si="7"/>
        <v>0</v>
      </c>
    </row>
    <row r="23" ht="15.75" customHeight="1">
      <c r="D23" s="5">
        <f t="shared" si="8"/>
        <v>46167</v>
      </c>
      <c r="E23" s="6">
        <f t="shared" si="1"/>
        <v>22</v>
      </c>
      <c r="F23" s="11">
        <f t="shared" si="9"/>
        <v>132.6745205</v>
      </c>
      <c r="G23" s="9"/>
      <c r="K23" s="9"/>
      <c r="L23" s="5">
        <f t="shared" si="2"/>
        <v>46173</v>
      </c>
      <c r="M23" s="6">
        <f t="shared" si="3"/>
        <v>0</v>
      </c>
      <c r="N23" s="10">
        <f t="shared" si="4"/>
        <v>2.761643836</v>
      </c>
      <c r="O23" s="11">
        <f t="shared" si="5"/>
        <v>135.4361644</v>
      </c>
      <c r="P23" s="11">
        <f t="shared" si="6"/>
        <v>135.4361644</v>
      </c>
      <c r="Q23" s="11">
        <f t="shared" si="7"/>
        <v>0</v>
      </c>
    </row>
    <row r="24" ht="15.75" customHeight="1">
      <c r="D24" s="5">
        <f t="shared" si="8"/>
        <v>46174</v>
      </c>
      <c r="E24" s="6">
        <f t="shared" si="1"/>
        <v>23</v>
      </c>
      <c r="F24" s="11">
        <f t="shared" si="9"/>
        <v>135.4361644</v>
      </c>
      <c r="L24" s="5">
        <f t="shared" si="2"/>
        <v>46180</v>
      </c>
      <c r="M24" s="6">
        <f t="shared" si="3"/>
        <v>0</v>
      </c>
      <c r="N24" s="10">
        <f t="shared" si="4"/>
        <v>2.761643836</v>
      </c>
      <c r="O24" s="11">
        <f t="shared" si="5"/>
        <v>138.1978082</v>
      </c>
      <c r="P24" s="11">
        <f t="shared" si="6"/>
        <v>138.1978082</v>
      </c>
      <c r="Q24" s="11">
        <f t="shared" si="7"/>
        <v>0</v>
      </c>
    </row>
    <row r="25" ht="15.75" customHeight="1">
      <c r="D25" s="5">
        <f t="shared" si="8"/>
        <v>46181</v>
      </c>
      <c r="E25" s="6">
        <f t="shared" si="1"/>
        <v>24</v>
      </c>
      <c r="F25" s="11">
        <f t="shared" si="9"/>
        <v>138.1978082</v>
      </c>
      <c r="K25" s="9"/>
      <c r="L25" s="5">
        <f t="shared" si="2"/>
        <v>46187</v>
      </c>
      <c r="M25" s="6">
        <f t="shared" si="3"/>
        <v>0</v>
      </c>
      <c r="N25" s="10">
        <f t="shared" si="4"/>
        <v>2.761643836</v>
      </c>
      <c r="O25" s="11">
        <f t="shared" si="5"/>
        <v>140.9594521</v>
      </c>
      <c r="P25" s="11">
        <f t="shared" si="6"/>
        <v>140.9594521</v>
      </c>
      <c r="Q25" s="11">
        <f t="shared" si="7"/>
        <v>0</v>
      </c>
    </row>
    <row r="26" ht="15.75" customHeight="1">
      <c r="D26" s="5">
        <f t="shared" si="8"/>
        <v>46188</v>
      </c>
      <c r="E26" s="6">
        <f t="shared" si="1"/>
        <v>25</v>
      </c>
      <c r="F26" s="11">
        <f t="shared" si="9"/>
        <v>140.9594521</v>
      </c>
      <c r="K26" s="9"/>
      <c r="L26" s="5">
        <f t="shared" si="2"/>
        <v>46194</v>
      </c>
      <c r="M26" s="6">
        <f t="shared" si="3"/>
        <v>0</v>
      </c>
      <c r="N26" s="10">
        <f t="shared" si="4"/>
        <v>2.761643836</v>
      </c>
      <c r="O26" s="11">
        <f t="shared" si="5"/>
        <v>143.7210959</v>
      </c>
      <c r="P26" s="11">
        <f t="shared" si="6"/>
        <v>143.7210959</v>
      </c>
      <c r="Q26" s="11">
        <f t="shared" si="7"/>
        <v>0</v>
      </c>
    </row>
    <row r="27" ht="15.75" customHeight="1">
      <c r="D27" s="5">
        <f t="shared" si="8"/>
        <v>46195</v>
      </c>
      <c r="E27" s="6">
        <f t="shared" si="1"/>
        <v>26</v>
      </c>
      <c r="F27" s="11">
        <f t="shared" si="9"/>
        <v>143.7210959</v>
      </c>
      <c r="K27" s="9"/>
      <c r="L27" s="5">
        <f t="shared" si="2"/>
        <v>46201</v>
      </c>
      <c r="M27" s="6">
        <f t="shared" si="3"/>
        <v>0</v>
      </c>
      <c r="N27" s="10">
        <f t="shared" si="4"/>
        <v>2.761643836</v>
      </c>
      <c r="O27" s="11">
        <f t="shared" si="5"/>
        <v>146.4827397</v>
      </c>
      <c r="P27" s="11">
        <f t="shared" si="6"/>
        <v>146.4827397</v>
      </c>
      <c r="Q27" s="11">
        <f t="shared" si="7"/>
        <v>0</v>
      </c>
    </row>
    <row r="28" ht="15.75" customHeight="1">
      <c r="D28" s="5">
        <f t="shared" si="8"/>
        <v>46202</v>
      </c>
      <c r="E28" s="6">
        <f t="shared" si="1"/>
        <v>27</v>
      </c>
      <c r="F28" s="11">
        <f t="shared" si="9"/>
        <v>146.4827397</v>
      </c>
      <c r="K28" s="9"/>
      <c r="L28" s="5">
        <f t="shared" si="2"/>
        <v>46208</v>
      </c>
      <c r="M28" s="6">
        <f t="shared" si="3"/>
        <v>0</v>
      </c>
      <c r="N28" s="10">
        <f t="shared" si="4"/>
        <v>2.761643836</v>
      </c>
      <c r="O28" s="11">
        <f t="shared" si="5"/>
        <v>149.2443836</v>
      </c>
      <c r="P28" s="11">
        <f t="shared" si="6"/>
        <v>149.2443836</v>
      </c>
      <c r="Q28" s="11">
        <f t="shared" si="7"/>
        <v>0</v>
      </c>
    </row>
    <row r="29" ht="15.75" customHeight="1">
      <c r="D29" s="5">
        <f t="shared" si="8"/>
        <v>46209</v>
      </c>
      <c r="E29" s="6">
        <f t="shared" si="1"/>
        <v>28</v>
      </c>
      <c r="F29" s="11">
        <f t="shared" si="9"/>
        <v>149.2443836</v>
      </c>
      <c r="K29" s="9"/>
      <c r="L29" s="5">
        <f t="shared" si="2"/>
        <v>46215</v>
      </c>
      <c r="M29" s="6">
        <f t="shared" si="3"/>
        <v>0</v>
      </c>
      <c r="N29" s="10">
        <f t="shared" si="4"/>
        <v>2.761643836</v>
      </c>
      <c r="O29" s="11">
        <f t="shared" si="5"/>
        <v>152.0060274</v>
      </c>
      <c r="P29" s="11">
        <f t="shared" si="6"/>
        <v>152.0060274</v>
      </c>
      <c r="Q29" s="11">
        <f t="shared" si="7"/>
        <v>0</v>
      </c>
    </row>
    <row r="30" ht="15.75" customHeight="1">
      <c r="D30" s="5">
        <f t="shared" si="8"/>
        <v>46216</v>
      </c>
      <c r="E30" s="6">
        <f t="shared" si="1"/>
        <v>29</v>
      </c>
      <c r="F30" s="11">
        <f t="shared" si="9"/>
        <v>152.0060274</v>
      </c>
      <c r="L30" s="5">
        <f t="shared" si="2"/>
        <v>46222</v>
      </c>
      <c r="M30" s="6">
        <f t="shared" si="3"/>
        <v>0</v>
      </c>
      <c r="N30" s="10">
        <f t="shared" si="4"/>
        <v>2.761643836</v>
      </c>
      <c r="O30" s="11">
        <f t="shared" si="5"/>
        <v>154.7676712</v>
      </c>
      <c r="P30" s="11">
        <f t="shared" si="6"/>
        <v>154.7676712</v>
      </c>
      <c r="Q30" s="11">
        <f t="shared" si="7"/>
        <v>0</v>
      </c>
    </row>
    <row r="31" ht="15.75" customHeight="1">
      <c r="D31" s="5">
        <f t="shared" si="8"/>
        <v>46223</v>
      </c>
      <c r="E31" s="6">
        <f t="shared" si="1"/>
        <v>30</v>
      </c>
      <c r="F31" s="11">
        <f t="shared" si="9"/>
        <v>154.7676712</v>
      </c>
      <c r="K31" s="9"/>
      <c r="L31" s="5">
        <f t="shared" si="2"/>
        <v>46229</v>
      </c>
      <c r="M31" s="6">
        <f t="shared" si="3"/>
        <v>0</v>
      </c>
      <c r="N31" s="10">
        <f t="shared" si="4"/>
        <v>2.761643836</v>
      </c>
      <c r="O31" s="11">
        <f t="shared" si="5"/>
        <v>157.5293151</v>
      </c>
      <c r="P31" s="11">
        <f t="shared" si="6"/>
        <v>157.5293151</v>
      </c>
      <c r="Q31" s="11">
        <f t="shared" si="7"/>
        <v>0</v>
      </c>
    </row>
    <row r="32" ht="15.75" customHeight="1">
      <c r="D32" s="5">
        <f t="shared" si="8"/>
        <v>46230</v>
      </c>
      <c r="E32" s="6">
        <f t="shared" si="1"/>
        <v>31</v>
      </c>
      <c r="F32" s="11">
        <f t="shared" si="9"/>
        <v>157.5293151</v>
      </c>
      <c r="L32" s="5">
        <f t="shared" si="2"/>
        <v>46236</v>
      </c>
      <c r="M32" s="6">
        <f t="shared" si="3"/>
        <v>0</v>
      </c>
      <c r="N32" s="10">
        <f t="shared" si="4"/>
        <v>2.761643836</v>
      </c>
      <c r="O32" s="11">
        <f t="shared" si="5"/>
        <v>160.2909589</v>
      </c>
      <c r="P32" s="11">
        <f t="shared" si="6"/>
        <v>160.2909589</v>
      </c>
      <c r="Q32" s="11">
        <f t="shared" si="7"/>
        <v>0</v>
      </c>
    </row>
    <row r="33" ht="15.75" customHeight="1">
      <c r="D33" s="5">
        <f t="shared" si="8"/>
        <v>46237</v>
      </c>
      <c r="E33" s="6">
        <f t="shared" si="1"/>
        <v>32</v>
      </c>
      <c r="F33" s="11">
        <f t="shared" si="9"/>
        <v>160.2909589</v>
      </c>
      <c r="K33" s="9"/>
      <c r="L33" s="5">
        <f t="shared" si="2"/>
        <v>46243</v>
      </c>
      <c r="M33" s="6">
        <f t="shared" si="3"/>
        <v>0</v>
      </c>
      <c r="N33" s="10">
        <f t="shared" si="4"/>
        <v>2.761643836</v>
      </c>
      <c r="O33" s="11">
        <f t="shared" si="5"/>
        <v>163.0526027</v>
      </c>
      <c r="P33" s="11">
        <f t="shared" si="6"/>
        <v>163.0526027</v>
      </c>
      <c r="Q33" s="11">
        <f t="shared" si="7"/>
        <v>0</v>
      </c>
    </row>
    <row r="34" ht="15.75" customHeight="1">
      <c r="D34" s="5">
        <f t="shared" si="8"/>
        <v>46244</v>
      </c>
      <c r="E34" s="6">
        <f t="shared" si="1"/>
        <v>33</v>
      </c>
      <c r="F34" s="11">
        <f t="shared" si="9"/>
        <v>163.0526027</v>
      </c>
      <c r="L34" s="5">
        <f t="shared" si="2"/>
        <v>46250</v>
      </c>
      <c r="M34" s="6">
        <f t="shared" si="3"/>
        <v>0</v>
      </c>
      <c r="N34" s="10">
        <f t="shared" si="4"/>
        <v>2.761643836</v>
      </c>
      <c r="O34" s="11">
        <f t="shared" si="5"/>
        <v>165.8142466</v>
      </c>
      <c r="P34" s="11">
        <f t="shared" si="6"/>
        <v>165.8142466</v>
      </c>
      <c r="Q34" s="11">
        <f t="shared" si="7"/>
        <v>0</v>
      </c>
    </row>
    <row r="35" ht="15.75" customHeight="1">
      <c r="D35" s="5">
        <f t="shared" si="8"/>
        <v>46251</v>
      </c>
      <c r="E35" s="6">
        <f t="shared" si="1"/>
        <v>34</v>
      </c>
      <c r="F35" s="11">
        <f t="shared" si="9"/>
        <v>165.8142466</v>
      </c>
      <c r="K35" s="9"/>
      <c r="L35" s="5">
        <f t="shared" si="2"/>
        <v>46257</v>
      </c>
      <c r="M35" s="6">
        <f t="shared" si="3"/>
        <v>0</v>
      </c>
      <c r="N35" s="10">
        <f t="shared" si="4"/>
        <v>2.761643836</v>
      </c>
      <c r="O35" s="11">
        <f t="shared" si="5"/>
        <v>168.5758904</v>
      </c>
      <c r="P35" s="11">
        <f t="shared" si="6"/>
        <v>168.5758904</v>
      </c>
      <c r="Q35" s="11">
        <f t="shared" si="7"/>
        <v>0</v>
      </c>
    </row>
    <row r="36" ht="15.75" customHeight="1">
      <c r="D36" s="5">
        <f t="shared" si="8"/>
        <v>46258</v>
      </c>
      <c r="E36" s="6">
        <f t="shared" si="1"/>
        <v>35</v>
      </c>
      <c r="F36" s="11">
        <f t="shared" si="9"/>
        <v>168.5758904</v>
      </c>
      <c r="L36" s="5">
        <f t="shared" si="2"/>
        <v>46264</v>
      </c>
      <c r="M36" s="6">
        <f t="shared" si="3"/>
        <v>0</v>
      </c>
      <c r="N36" s="10">
        <f t="shared" si="4"/>
        <v>2.761643836</v>
      </c>
      <c r="O36" s="11">
        <f t="shared" si="5"/>
        <v>171.3375342</v>
      </c>
      <c r="P36" s="11">
        <f t="shared" si="6"/>
        <v>171.3375342</v>
      </c>
      <c r="Q36" s="11">
        <f t="shared" si="7"/>
        <v>0</v>
      </c>
    </row>
    <row r="37" ht="15.75" customHeight="1">
      <c r="D37" s="5">
        <f t="shared" si="8"/>
        <v>46265</v>
      </c>
      <c r="E37" s="6">
        <f t="shared" si="1"/>
        <v>36</v>
      </c>
      <c r="F37" s="11">
        <f t="shared" si="9"/>
        <v>171.3375342</v>
      </c>
      <c r="K37" s="9"/>
      <c r="L37" s="5">
        <f t="shared" si="2"/>
        <v>46271</v>
      </c>
      <c r="M37" s="6">
        <f t="shared" si="3"/>
        <v>0</v>
      </c>
      <c r="N37" s="10">
        <f t="shared" si="4"/>
        <v>2.761643836</v>
      </c>
      <c r="O37" s="11">
        <f t="shared" si="5"/>
        <v>174.0991781</v>
      </c>
      <c r="P37" s="11">
        <f t="shared" si="6"/>
        <v>174.0991781</v>
      </c>
      <c r="Q37" s="11">
        <f t="shared" si="7"/>
        <v>0</v>
      </c>
    </row>
    <row r="38" ht="15.75" customHeight="1">
      <c r="D38" s="5">
        <f t="shared" si="8"/>
        <v>46272</v>
      </c>
      <c r="E38" s="6">
        <f t="shared" si="1"/>
        <v>37</v>
      </c>
      <c r="F38" s="11">
        <f t="shared" si="9"/>
        <v>174.0991781</v>
      </c>
      <c r="G38" s="9"/>
      <c r="L38" s="5">
        <f t="shared" si="2"/>
        <v>46278</v>
      </c>
      <c r="M38" s="6">
        <f t="shared" si="3"/>
        <v>0</v>
      </c>
      <c r="N38" s="10">
        <f t="shared" si="4"/>
        <v>2.761643836</v>
      </c>
      <c r="O38" s="11">
        <f t="shared" si="5"/>
        <v>176.8608219</v>
      </c>
      <c r="P38" s="11">
        <f t="shared" si="6"/>
        <v>176.8608219</v>
      </c>
      <c r="Q38" s="11">
        <f t="shared" si="7"/>
        <v>0</v>
      </c>
    </row>
    <row r="39" ht="15.75" customHeight="1">
      <c r="D39" s="5">
        <f t="shared" si="8"/>
        <v>46279</v>
      </c>
      <c r="E39" s="6">
        <f t="shared" si="1"/>
        <v>38</v>
      </c>
      <c r="F39" s="11">
        <f t="shared" si="9"/>
        <v>176.8608219</v>
      </c>
      <c r="K39" s="9"/>
      <c r="L39" s="5">
        <f t="shared" si="2"/>
        <v>46285</v>
      </c>
      <c r="M39" s="6">
        <f t="shared" si="3"/>
        <v>0</v>
      </c>
      <c r="N39" s="10">
        <f t="shared" si="4"/>
        <v>2.761643836</v>
      </c>
      <c r="O39" s="11">
        <f t="shared" si="5"/>
        <v>179.6224658</v>
      </c>
      <c r="P39" s="11">
        <f t="shared" si="6"/>
        <v>179.6224658</v>
      </c>
      <c r="Q39" s="11">
        <f t="shared" si="7"/>
        <v>0</v>
      </c>
    </row>
    <row r="40" ht="15.75" customHeight="1">
      <c r="D40" s="5">
        <f t="shared" si="8"/>
        <v>46286</v>
      </c>
      <c r="E40" s="6">
        <f t="shared" si="1"/>
        <v>39</v>
      </c>
      <c r="F40" s="11">
        <f t="shared" si="9"/>
        <v>179.6224658</v>
      </c>
      <c r="L40" s="5">
        <f t="shared" si="2"/>
        <v>46292</v>
      </c>
      <c r="M40" s="6">
        <f t="shared" si="3"/>
        <v>0</v>
      </c>
      <c r="N40" s="10">
        <f t="shared" si="4"/>
        <v>2.761643836</v>
      </c>
      <c r="O40" s="11">
        <f t="shared" si="5"/>
        <v>182.3841096</v>
      </c>
      <c r="P40" s="11">
        <f t="shared" si="6"/>
        <v>182.3841096</v>
      </c>
      <c r="Q40" s="11">
        <f t="shared" si="7"/>
        <v>0</v>
      </c>
    </row>
    <row r="41" ht="15.75" customHeight="1">
      <c r="D41" s="5">
        <f t="shared" si="8"/>
        <v>46293</v>
      </c>
      <c r="E41" s="6">
        <f t="shared" si="1"/>
        <v>40</v>
      </c>
      <c r="F41" s="11">
        <f t="shared" si="9"/>
        <v>182.3841096</v>
      </c>
      <c r="K41" s="9"/>
      <c r="L41" s="5">
        <f t="shared" si="2"/>
        <v>46299</v>
      </c>
      <c r="M41" s="6">
        <f t="shared" si="3"/>
        <v>0</v>
      </c>
      <c r="N41" s="10">
        <f t="shared" si="4"/>
        <v>2.761643836</v>
      </c>
      <c r="O41" s="11">
        <f t="shared" si="5"/>
        <v>185.1457534</v>
      </c>
      <c r="P41" s="11">
        <f t="shared" si="6"/>
        <v>185.1457534</v>
      </c>
      <c r="Q41" s="11">
        <f t="shared" si="7"/>
        <v>0</v>
      </c>
    </row>
    <row r="42" ht="15.75" customHeight="1">
      <c r="D42" s="5">
        <f t="shared" si="8"/>
        <v>46300</v>
      </c>
      <c r="E42" s="6">
        <f t="shared" si="1"/>
        <v>41</v>
      </c>
      <c r="F42" s="11">
        <f t="shared" si="9"/>
        <v>185.1457534</v>
      </c>
      <c r="L42" s="5">
        <f t="shared" si="2"/>
        <v>46306</v>
      </c>
      <c r="M42" s="6">
        <f t="shared" si="3"/>
        <v>0</v>
      </c>
      <c r="N42" s="10">
        <f t="shared" si="4"/>
        <v>2.761643836</v>
      </c>
      <c r="O42" s="11">
        <f t="shared" si="5"/>
        <v>187.9073973</v>
      </c>
      <c r="P42" s="11">
        <f t="shared" si="6"/>
        <v>187.9073973</v>
      </c>
      <c r="Q42" s="11">
        <f t="shared" si="7"/>
        <v>0</v>
      </c>
    </row>
    <row r="43" ht="15.75" customHeight="1">
      <c r="D43" s="5">
        <f t="shared" si="8"/>
        <v>46307</v>
      </c>
      <c r="E43" s="6">
        <f t="shared" si="1"/>
        <v>42</v>
      </c>
      <c r="F43" s="11">
        <f t="shared" si="9"/>
        <v>187.9073973</v>
      </c>
      <c r="K43" s="9"/>
      <c r="L43" s="5">
        <f t="shared" si="2"/>
        <v>46313</v>
      </c>
      <c r="M43" s="6">
        <f t="shared" si="3"/>
        <v>0</v>
      </c>
      <c r="N43" s="10">
        <f t="shared" si="4"/>
        <v>2.761643836</v>
      </c>
      <c r="O43" s="11">
        <f t="shared" si="5"/>
        <v>190.6690411</v>
      </c>
      <c r="P43" s="11">
        <f t="shared" si="6"/>
        <v>190.6690411</v>
      </c>
      <c r="Q43" s="11">
        <f t="shared" si="7"/>
        <v>0</v>
      </c>
    </row>
    <row r="44" ht="15.75" customHeight="1">
      <c r="D44" s="5">
        <f t="shared" si="8"/>
        <v>46314</v>
      </c>
      <c r="E44" s="6">
        <f t="shared" si="1"/>
        <v>43</v>
      </c>
      <c r="F44" s="11">
        <f t="shared" si="9"/>
        <v>190.6690411</v>
      </c>
      <c r="L44" s="5">
        <f t="shared" si="2"/>
        <v>46320</v>
      </c>
      <c r="M44" s="6">
        <f t="shared" si="3"/>
        <v>0</v>
      </c>
      <c r="N44" s="10">
        <f t="shared" si="4"/>
        <v>2.761643836</v>
      </c>
      <c r="O44" s="11">
        <f t="shared" si="5"/>
        <v>193.4306849</v>
      </c>
      <c r="P44" s="11">
        <f t="shared" si="6"/>
        <v>193.4306849</v>
      </c>
      <c r="Q44" s="11">
        <f t="shared" si="7"/>
        <v>0</v>
      </c>
    </row>
    <row r="45" ht="15.75" customHeight="1">
      <c r="D45" s="5">
        <f t="shared" si="8"/>
        <v>46321</v>
      </c>
      <c r="E45" s="6">
        <f t="shared" si="1"/>
        <v>44</v>
      </c>
      <c r="F45" s="11">
        <f t="shared" si="9"/>
        <v>193.4306849</v>
      </c>
      <c r="K45" s="9"/>
      <c r="L45" s="5">
        <f t="shared" si="2"/>
        <v>46327</v>
      </c>
      <c r="M45" s="6">
        <f t="shared" si="3"/>
        <v>0</v>
      </c>
      <c r="N45" s="10">
        <f t="shared" si="4"/>
        <v>2.761643836</v>
      </c>
      <c r="O45" s="11">
        <f t="shared" si="5"/>
        <v>196.1923288</v>
      </c>
      <c r="P45" s="11">
        <f t="shared" si="6"/>
        <v>196.1923288</v>
      </c>
      <c r="Q45" s="11">
        <f t="shared" si="7"/>
        <v>0</v>
      </c>
    </row>
    <row r="46" ht="15.75" customHeight="1">
      <c r="D46" s="5">
        <f t="shared" si="8"/>
        <v>46328</v>
      </c>
      <c r="E46" s="6">
        <f t="shared" si="1"/>
        <v>45</v>
      </c>
      <c r="F46" s="11">
        <f t="shared" si="9"/>
        <v>196.1923288</v>
      </c>
      <c r="L46" s="5">
        <f t="shared" si="2"/>
        <v>46334</v>
      </c>
      <c r="M46" s="6">
        <f t="shared" si="3"/>
        <v>0</v>
      </c>
      <c r="N46" s="10">
        <f t="shared" si="4"/>
        <v>2.761643836</v>
      </c>
      <c r="O46" s="11">
        <f t="shared" si="5"/>
        <v>198.9539726</v>
      </c>
      <c r="P46" s="11">
        <f t="shared" si="6"/>
        <v>198.9539726</v>
      </c>
      <c r="Q46" s="11">
        <f t="shared" si="7"/>
        <v>0</v>
      </c>
    </row>
    <row r="47" ht="15.75" customHeight="1">
      <c r="D47" s="5">
        <f t="shared" si="8"/>
        <v>46335</v>
      </c>
      <c r="E47" s="6">
        <f t="shared" si="1"/>
        <v>46</v>
      </c>
      <c r="F47" s="11">
        <f t="shared" si="9"/>
        <v>198.9539726</v>
      </c>
      <c r="K47" s="9"/>
      <c r="L47" s="5">
        <f t="shared" si="2"/>
        <v>46341</v>
      </c>
      <c r="M47" s="6">
        <f t="shared" si="3"/>
        <v>0</v>
      </c>
      <c r="N47" s="10">
        <f t="shared" si="4"/>
        <v>2.761643836</v>
      </c>
      <c r="O47" s="11">
        <f t="shared" si="5"/>
        <v>201.7156164</v>
      </c>
      <c r="P47" s="11">
        <f t="shared" si="6"/>
        <v>201.7156164</v>
      </c>
      <c r="Q47" s="11">
        <f t="shared" si="7"/>
        <v>0</v>
      </c>
    </row>
    <row r="48" ht="15.75" customHeight="1">
      <c r="D48" s="5">
        <f t="shared" si="8"/>
        <v>46342</v>
      </c>
      <c r="E48" s="6">
        <f t="shared" si="1"/>
        <v>47</v>
      </c>
      <c r="F48" s="11">
        <f t="shared" si="9"/>
        <v>201.7156164</v>
      </c>
      <c r="L48" s="5">
        <f t="shared" si="2"/>
        <v>46348</v>
      </c>
      <c r="M48" s="6">
        <f t="shared" si="3"/>
        <v>0</v>
      </c>
      <c r="N48" s="10">
        <f t="shared" si="4"/>
        <v>2.761643836</v>
      </c>
      <c r="O48" s="11">
        <f t="shared" si="5"/>
        <v>204.4772603</v>
      </c>
      <c r="P48" s="11">
        <f t="shared" si="6"/>
        <v>204.4772603</v>
      </c>
      <c r="Q48" s="11">
        <f t="shared" si="7"/>
        <v>0</v>
      </c>
    </row>
    <row r="49" ht="15.75" customHeight="1">
      <c r="D49" s="5">
        <f t="shared" si="8"/>
        <v>46349</v>
      </c>
      <c r="E49" s="6">
        <f t="shared" si="1"/>
        <v>48</v>
      </c>
      <c r="F49" s="11">
        <f t="shared" si="9"/>
        <v>204.4772603</v>
      </c>
      <c r="I49" s="9"/>
      <c r="J49" s="9"/>
      <c r="K49" s="9"/>
      <c r="L49" s="5">
        <f t="shared" si="2"/>
        <v>46355</v>
      </c>
      <c r="M49" s="6">
        <f t="shared" si="3"/>
        <v>0</v>
      </c>
      <c r="N49" s="10">
        <f t="shared" si="4"/>
        <v>2.761643836</v>
      </c>
      <c r="O49" s="11">
        <f t="shared" si="5"/>
        <v>207.2389041</v>
      </c>
      <c r="P49" s="11">
        <f t="shared" si="6"/>
        <v>207.2389041</v>
      </c>
      <c r="Q49" s="11">
        <f t="shared" si="7"/>
        <v>0</v>
      </c>
    </row>
    <row r="50" ht="15.75" customHeight="1">
      <c r="D50" s="5">
        <f t="shared" si="8"/>
        <v>46356</v>
      </c>
      <c r="E50" s="6">
        <f t="shared" si="1"/>
        <v>49</v>
      </c>
      <c r="F50" s="11">
        <f t="shared" si="9"/>
        <v>207.2389041</v>
      </c>
      <c r="L50" s="5">
        <f t="shared" si="2"/>
        <v>46362</v>
      </c>
      <c r="M50" s="6">
        <f t="shared" si="3"/>
        <v>0</v>
      </c>
      <c r="N50" s="10">
        <f t="shared" si="4"/>
        <v>2.761643836</v>
      </c>
      <c r="O50" s="11">
        <f t="shared" si="5"/>
        <v>210.0005479</v>
      </c>
      <c r="P50" s="11">
        <f t="shared" si="6"/>
        <v>210.0005479</v>
      </c>
      <c r="Q50" s="11">
        <f t="shared" si="7"/>
        <v>0</v>
      </c>
    </row>
    <row r="51" ht="15.75" customHeight="1">
      <c r="D51" s="5">
        <f t="shared" si="8"/>
        <v>46363</v>
      </c>
      <c r="E51" s="6">
        <f t="shared" si="1"/>
        <v>50</v>
      </c>
      <c r="F51" s="11">
        <f t="shared" si="9"/>
        <v>210.0005479</v>
      </c>
      <c r="K51" s="9"/>
      <c r="L51" s="5">
        <f t="shared" si="2"/>
        <v>46369</v>
      </c>
      <c r="M51" s="6">
        <f t="shared" si="3"/>
        <v>0</v>
      </c>
      <c r="N51" s="10">
        <f t="shared" si="4"/>
        <v>2.761643836</v>
      </c>
      <c r="O51" s="11">
        <f t="shared" si="5"/>
        <v>212.7621918</v>
      </c>
      <c r="P51" s="11">
        <f t="shared" si="6"/>
        <v>212.7621918</v>
      </c>
      <c r="Q51" s="11">
        <f t="shared" si="7"/>
        <v>0</v>
      </c>
    </row>
    <row r="52" ht="15.75" customHeight="1">
      <c r="D52" s="5">
        <f t="shared" si="8"/>
        <v>46370</v>
      </c>
      <c r="E52" s="6">
        <f t="shared" si="1"/>
        <v>51</v>
      </c>
      <c r="F52" s="11">
        <f t="shared" si="9"/>
        <v>212.7621918</v>
      </c>
      <c r="L52" s="5">
        <f t="shared" si="2"/>
        <v>46376</v>
      </c>
      <c r="M52" s="6">
        <f t="shared" si="3"/>
        <v>0</v>
      </c>
      <c r="N52" s="10">
        <f t="shared" si="4"/>
        <v>2.761643836</v>
      </c>
      <c r="O52" s="11">
        <f t="shared" si="5"/>
        <v>215.5238356</v>
      </c>
      <c r="P52" s="11">
        <f t="shared" si="6"/>
        <v>215.5238356</v>
      </c>
      <c r="Q52" s="11">
        <f t="shared" si="7"/>
        <v>0</v>
      </c>
    </row>
    <row r="53" ht="15.75" customHeight="1">
      <c r="D53" s="5">
        <f t="shared" si="8"/>
        <v>46377</v>
      </c>
      <c r="E53" s="6">
        <f t="shared" si="1"/>
        <v>52</v>
      </c>
      <c r="F53" s="11">
        <f t="shared" si="9"/>
        <v>215.5238356</v>
      </c>
      <c r="J53" s="9"/>
      <c r="K53" s="9"/>
      <c r="L53" s="5">
        <f t="shared" si="2"/>
        <v>46383</v>
      </c>
      <c r="M53" s="6">
        <f t="shared" si="3"/>
        <v>0</v>
      </c>
      <c r="N53" s="10">
        <f t="shared" si="4"/>
        <v>2.761643836</v>
      </c>
      <c r="O53" s="11">
        <f t="shared" si="5"/>
        <v>218.2854795</v>
      </c>
      <c r="P53" s="11">
        <f t="shared" si="6"/>
        <v>218.2854795</v>
      </c>
      <c r="Q53" s="11">
        <f t="shared" si="7"/>
        <v>0</v>
      </c>
    </row>
    <row r="54" ht="15.75" customHeight="1">
      <c r="D54" s="5">
        <f t="shared" si="8"/>
        <v>46384</v>
      </c>
      <c r="E54" s="6">
        <f t="shared" si="1"/>
        <v>1</v>
      </c>
      <c r="F54" s="11">
        <f t="shared" si="9"/>
        <v>218.2854795</v>
      </c>
      <c r="G54" s="9"/>
      <c r="L54" s="5">
        <f t="shared" si="2"/>
        <v>46390</v>
      </c>
      <c r="M54" s="6">
        <f t="shared" si="3"/>
        <v>0</v>
      </c>
      <c r="N54" s="10">
        <f t="shared" si="4"/>
        <v>2.761643836</v>
      </c>
      <c r="O54" s="11">
        <f t="shared" si="5"/>
        <v>221.0471233</v>
      </c>
      <c r="P54" s="11">
        <f t="shared" si="6"/>
        <v>221.0471233</v>
      </c>
      <c r="Q54" s="11">
        <f t="shared" si="7"/>
        <v>0</v>
      </c>
    </row>
    <row r="55" ht="15.75" customHeight="1">
      <c r="D55" s="5">
        <f t="shared" si="8"/>
        <v>46391</v>
      </c>
      <c r="E55" s="6">
        <f t="shared" si="1"/>
        <v>2</v>
      </c>
      <c r="F55" s="11">
        <f t="shared" si="9"/>
        <v>221.0471233</v>
      </c>
      <c r="K55" s="9"/>
      <c r="L55" s="5">
        <f t="shared" si="2"/>
        <v>46397</v>
      </c>
      <c r="M55" s="6">
        <f t="shared" si="3"/>
        <v>0</v>
      </c>
      <c r="N55" s="10">
        <f t="shared" si="4"/>
        <v>2.761643836</v>
      </c>
      <c r="O55" s="11">
        <f t="shared" si="5"/>
        <v>223.8087671</v>
      </c>
      <c r="P55" s="11">
        <f t="shared" si="6"/>
        <v>223.8087671</v>
      </c>
      <c r="Q55" s="11">
        <f t="shared" si="7"/>
        <v>0</v>
      </c>
    </row>
    <row r="56" ht="15.75" customHeight="1">
      <c r="D56" s="23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B7"/>
  </mergeCells>
  <conditionalFormatting sqref="Q2:Q55">
    <cfRule type="cellIs" dxfId="0" priority="1" operator="greaterThan">
      <formula>0</formula>
    </cfRule>
  </conditionalFormatting>
  <conditionalFormatting sqref="P2:P55">
    <cfRule type="cellIs" dxfId="1" priority="2" operator="greaterThan">
      <formula>319.99</formula>
    </cfRule>
  </conditionalFormatting>
  <conditionalFormatting sqref="P2:P55">
    <cfRule type="cellIs" dxfId="2" priority="3" operator="between">
      <formula>300</formula>
      <formula>319.99</formula>
    </cfRule>
  </conditionalFormatting>
  <conditionalFormatting sqref="P2:P55">
    <cfRule type="cellIs" dxfId="3" priority="4" operator="between">
      <formula>280</formula>
      <formula>299.99</formula>
    </cfRule>
  </conditionalFormatting>
  <conditionalFormatting sqref="K2:K55">
    <cfRule type="expression" dxfId="4" priority="5">
      <formula>COUNTIF($B$8:$B1000,$D2+4)</formula>
    </cfRule>
  </conditionalFormatting>
  <conditionalFormatting sqref="K2:K55">
    <cfRule type="expression" dxfId="5" priority="6">
      <formula>AND(($B$3="Yes"),ISEVEN(E2))</formula>
    </cfRule>
  </conditionalFormatting>
  <conditionalFormatting sqref="G2:G55">
    <cfRule type="expression" dxfId="4" priority="7">
      <formula>COUNTIF($B$8:$B1000,$D2+0)</formula>
    </cfRule>
  </conditionalFormatting>
  <conditionalFormatting sqref="H2:H55">
    <cfRule type="expression" dxfId="4" priority="8">
      <formula>COUNTIF($B$8:$B1000,$D2+1)</formula>
    </cfRule>
  </conditionalFormatting>
  <conditionalFormatting sqref="I2:I55">
    <cfRule type="expression" dxfId="4" priority="9">
      <formula>COUNTIF($B$8:$B1000,$D2+2)</formula>
    </cfRule>
  </conditionalFormatting>
  <conditionalFormatting sqref="J2:J55">
    <cfRule type="expression" dxfId="4" priority="10">
      <formula>COUNTIF($B$8:$B1000,$D2+3)</formula>
    </cfRule>
  </conditionalFormatting>
  <conditionalFormatting sqref="G2:K55">
    <cfRule type="expression" dxfId="0" priority="11">
      <formula>OR(($O2&lt;0),($Q2&gt;0))</formula>
    </cfRule>
  </conditionalFormatting>
  <conditionalFormatting sqref="O2:P55">
    <cfRule type="cellIs" dxfId="0" priority="12" operator="lessThan">
      <formula>0</formula>
    </cfRule>
  </conditionalFormatting>
  <printOptions/>
  <pageMargins bottom="0.75" footer="0.0" header="0.0" left="0.7" right="0.7" top="0.75"/>
  <pageSetup orientation="portrait"/>
  <drawing r:id="rId2"/>
  <legacyDrawing r:id="rId3"/>
</worksheet>
</file>